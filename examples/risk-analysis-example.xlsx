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Hazard_Identification" sheetId="2" state="visible" r:id="rId2"/>
    <sheet xmlns:r="http://schemas.openxmlformats.org/officeDocument/2006/relationships" name="Risk_Estimation" sheetId="3" state="visible" r:id="rId3"/>
    <sheet xmlns:r="http://schemas.openxmlformats.org/officeDocument/2006/relationships" name="Risk_Evaluation" sheetId="4" state="visible" r:id="rId4"/>
    <sheet xmlns:r="http://schemas.openxmlformats.org/officeDocument/2006/relationships" name="Risk_Controls" sheetId="5" state="visible" r:id="rId5"/>
    <sheet xmlns:r="http://schemas.openxmlformats.org/officeDocument/2006/relationships" name="Residual_Risk" sheetId="6" state="visible" r:id="rId6"/>
    <sheet xmlns:r="http://schemas.openxmlformats.org/officeDocument/2006/relationships" name="Overall_Residual_Risk" sheetId="7" state="visible" r:id="rId7"/>
    <sheet xmlns:r="http://schemas.openxmlformats.org/officeDocument/2006/relationships" name="FM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4444"/>
          <bgColor rgb="00FF4444"/>
        </patternFill>
      </fill>
    </dxf>
    <dxf>
      <fill>
        <patternFill patternType="solid">
          <fgColor rgb="00FFD700"/>
          <bgColor rgb="00FFD700"/>
        </patternFill>
      </fill>
    </dxf>
    <dxf>
      <fill>
        <patternFill patternType="solid">
          <fgColor rgb="0066BB6A"/>
          <bgColor rgb="0066BB6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Document Control</t>
        </is>
      </c>
      <c r="B1" s="2" t="n"/>
      <c r="C1" s="2" t="n"/>
      <c r="D1" s="2" t="n"/>
    </row>
    <row r="3">
      <c r="A3" s="3" t="inlineStr">
        <is>
          <t>Document Title</t>
        </is>
      </c>
      <c r="B3" s="4" t="inlineStr">
        <is>
          <t>Risk Analysis — SpO2 AI Eval Pipeline</t>
        </is>
      </c>
    </row>
    <row r="4">
      <c r="A4" s="3" t="inlineStr">
        <is>
          <t>Document Version</t>
        </is>
      </c>
      <c r="B4" s="4" t="inlineStr">
        <is>
          <t>1.0</t>
        </is>
      </c>
    </row>
    <row r="5">
      <c r="A5" s="3" t="inlineStr">
        <is>
          <t>Device/Software Version</t>
        </is>
      </c>
      <c r="B5" s="4" t="inlineStr">
        <is>
          <t>SpO2 AI Eval Pipeline</t>
        </is>
      </c>
    </row>
    <row r="6">
      <c r="A6" s="3" t="inlineStr">
        <is>
          <t>Date Generated</t>
        </is>
      </c>
      <c r="B6" s="4" t="inlineStr">
        <is>
          <t>2026-04-28</t>
        </is>
      </c>
    </row>
    <row r="8">
      <c r="A8" s="3" t="inlineStr">
        <is>
          <t>QMS Document Number</t>
        </is>
      </c>
      <c r="B8" s="4" t="inlineStr"/>
    </row>
    <row r="9">
      <c r="A9" s="3" t="inlineStr">
        <is>
          <t>SOP Reference</t>
        </is>
      </c>
      <c r="B9" s="4" t="inlineStr"/>
    </row>
    <row r="10">
      <c r="A10" s="3" t="inlineStr">
        <is>
          <t>Related Design Controls File</t>
        </is>
      </c>
      <c r="B10" s="4" t="inlineStr"/>
    </row>
    <row r="12">
      <c r="A12" s="3" t="inlineStr">
        <is>
          <t>Approval Signatures</t>
        </is>
      </c>
      <c r="B12" s="5" t="n"/>
      <c r="C12" s="5" t="n"/>
      <c r="D12" s="5" t="n"/>
    </row>
    <row r="13">
      <c r="A13" s="1" t="inlineStr">
        <is>
          <t>Role</t>
        </is>
      </c>
      <c r="B13" s="1" t="inlineStr">
        <is>
          <t>Name</t>
        </is>
      </c>
      <c r="C13" s="1" t="inlineStr">
        <is>
          <t>Date</t>
        </is>
      </c>
      <c r="D13" s="1" t="inlineStr">
        <is>
          <t>Signature</t>
        </is>
      </c>
    </row>
    <row r="14">
      <c r="A14" s="4" t="inlineStr">
        <is>
          <t>Prepared By</t>
        </is>
      </c>
      <c r="B14" s="4" t="inlineStr"/>
      <c r="C14" s="4" t="inlineStr"/>
      <c r="D14" s="4" t="inlineStr"/>
    </row>
    <row r="15">
      <c r="A15" s="4" t="inlineStr">
        <is>
          <t>Reviewed By (QA)</t>
        </is>
      </c>
      <c r="B15" s="4" t="inlineStr"/>
      <c r="C15" s="4" t="inlineStr"/>
      <c r="D15" s="4" t="inlineStr"/>
    </row>
    <row r="16">
      <c r="A16" s="4" t="inlineStr">
        <is>
          <t>Approved By (Management)</t>
        </is>
      </c>
      <c r="B16" s="4" t="inlineStr"/>
      <c r="C16" s="4" t="inlineStr"/>
      <c r="D16" s="4" t="inlineStr"/>
    </row>
  </sheetData>
  <mergeCells count="2">
    <mergeCell ref="A1:D1"/>
    <mergeCell ref="A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40" customWidth="1" min="4" max="4"/>
    <col width="55" customWidth="1" min="5" max="5"/>
  </cols>
  <sheetData>
    <row r="1">
      <c r="A1" s="1" t="inlineStr">
        <is>
          <t>Hazard ID</t>
        </is>
      </c>
      <c r="B1" s="1" t="inlineStr">
        <is>
          <t>Hazard</t>
        </is>
      </c>
      <c r="C1" s="1" t="inlineStr">
        <is>
          <t>Hazardous Situation</t>
        </is>
      </c>
      <c r="D1" s="1" t="inlineStr">
        <is>
          <t>Harm</t>
        </is>
      </c>
      <c r="E1" s="1" t="inlineStr">
        <is>
          <t>Sequence of Events</t>
        </is>
      </c>
    </row>
    <row r="2">
      <c r="A2" s="4" t="inlineStr">
        <is>
          <t>HAZ-001</t>
        </is>
      </c>
      <c r="B2" s="4" t="inlineStr">
        <is>
          <t>Misclassify urgent desaturation as normal</t>
        </is>
      </c>
      <c r="C2" s="4" t="inlineStr">
        <is>
          <t>Algorithm classifies a true urgent desaturation event as normal SpO2, and no alarm is triggered</t>
        </is>
      </c>
      <c r="D2" s="4" t="inlineStr">
        <is>
          <t>Delayed clinical intervention, potential brain injury</t>
        </is>
      </c>
      <c r="E2" s="4" t="inlineStr">
        <is>
          <t>Sensor captures low SpO2 -&gt; AI model misclassifies severity -&gt; no alarm fired -&gt; clinician unaware -&gt; delayed O2 therapy -&gt; hypoxic brain injury</t>
        </is>
      </c>
    </row>
    <row r="3">
      <c r="A3" s="4" t="inlineStr">
        <is>
          <t>HAZ-002</t>
        </is>
      </c>
      <c r="B3" s="4" t="inlineStr">
        <is>
          <t>False positive artifact flag on real desaturation</t>
        </is>
      </c>
      <c r="C3" s="4" t="inlineStr">
        <is>
          <t>Real desaturation event is flagged as motion artifact and discarded from analysis</t>
        </is>
      </c>
      <c r="D3" s="4" t="inlineStr">
        <is>
          <t>Real desat discarded, delayed clinical response</t>
        </is>
      </c>
      <c r="E3" s="4" t="inlineStr">
        <is>
          <t>True desat occurs -&gt; artifact filter misidentifies as noise -&gt; event dropped -&gt; clinician not notified -&gt; delayed response</t>
        </is>
      </c>
    </row>
    <row r="4">
      <c r="A4" s="4" t="inlineStr">
        <is>
          <t>HAZ-003</t>
        </is>
      </c>
      <c r="B4" s="4" t="inlineStr">
        <is>
          <t>Sensor disconnect undetected</t>
        </is>
      </c>
      <c r="C4" s="4" t="inlineStr">
        <is>
          <t>Pulse oximetry sensor becomes disconnected and system does not alert nursing staff</t>
        </is>
      </c>
      <c r="D4" s="4" t="inlineStr">
        <is>
          <t>No monitoring during disconnect period</t>
        </is>
      </c>
      <c r="E4" s="4" t="inlineStr">
        <is>
          <t>Sensor dislodged -&gt; signal loss -&gt; system does not detect disconnect -&gt; monitoring gap -&gt; event missed</t>
        </is>
      </c>
    </row>
    <row r="5">
      <c r="A5" s="4" t="inlineStr">
        <is>
          <t>HAZ-004</t>
        </is>
      </c>
      <c r="B5" s="4" t="inlineStr">
        <is>
          <t>Wrong GA threshold applied</t>
        </is>
      </c>
      <c r="C5" s="4" t="inlineStr">
        <is>
          <t>Gestational age category is incorrectly assigned, causing wrong SpO2 thresholds to be used for classification</t>
        </is>
      </c>
      <c r="D5" s="4" t="inlineStr">
        <is>
          <t>Inappropriate urgency classification</t>
        </is>
      </c>
      <c r="E5" s="4" t="inlineStr">
        <is>
          <t>GA entered incorrectly or defaulted -&gt; wrong threshold table selected -&gt; classification uses wrong limits -&gt; over/under-triage</t>
        </is>
      </c>
    </row>
    <row r="6">
      <c r="A6" s="4" t="inlineStr">
        <is>
          <t>HAZ-005</t>
        </is>
      </c>
      <c r="B6" s="4" t="inlineStr">
        <is>
          <t>Handoff report omits critical context</t>
        </is>
      </c>
      <c r="C6" s="4" t="inlineStr">
        <is>
          <t>AI-generated shift handoff report is missing key clinical context needed for care continuity</t>
        </is>
      </c>
      <c r="D6" s="4" t="inlineStr">
        <is>
          <t>Clinician makes suboptimal decision due to missing context</t>
        </is>
      </c>
      <c r="E6" s="4" t="inlineStr">
        <is>
          <t>Handoff report generated -&gt; critical event omitted -&gt; receiving clinician unaware of history -&gt; suboptimal care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Hazard ID</t>
        </is>
      </c>
      <c r="B1" s="1" t="inlineStr">
        <is>
          <t>Severity (S1-S5)</t>
        </is>
      </c>
      <c r="C1" s="1" t="inlineStr">
        <is>
          <t>Probability (P1-P5)</t>
        </is>
      </c>
      <c r="D1" s="1" t="inlineStr">
        <is>
          <t>Risk Level</t>
        </is>
      </c>
    </row>
    <row r="2">
      <c r="A2" s="4" t="inlineStr">
        <is>
          <t>HAZ-001</t>
        </is>
      </c>
      <c r="B2" s="4" t="n">
        <v>4</v>
      </c>
      <c r="C2" s="4" t="n">
        <v>3</v>
      </c>
      <c r="D2" s="4">
        <f>IF(B2=1,IF(C2=1,"Acceptable",IF(C2=2,"Acceptable",IF(C2=3,"Acceptable",IF(C2=4,"Acceptable",IF(C2=5,"ALARP","ERROR"))))),IF(B2=2,IF(C2=1,"Acceptable",IF(C2=2,"Acceptable",IF(C2=3,"ALARP",IF(C2=4,"ALARP",IF(C2=5,"Unacceptable","ERROR"))))),IF(B2=3,IF(C2=1,"Acceptable",IF(C2=2,"ALARP",IF(C2=3,"ALARP",IF(C2=4,"Unacceptable",IF(C2=5,"Unacceptable","ERROR"))))),IF(B2=4,IF(C2=1,"ALARP",IF(C2=2,"ALARP",IF(C2=3,"Unacceptable",IF(C2=4,"Unacceptable",IF(C2=5,"Unacceptable","ERROR"))))),IF(B2=5,IF(C2=1,"ALARP",IF(C2=2,"Unacceptable",IF(C2=3,"Unacceptable",IF(C2=4,"Unacceptable",IF(C2=5,"Unacceptable","ERROR"))))),"ERROR")))))</f>
        <v/>
      </c>
    </row>
    <row r="3">
      <c r="A3" s="4" t="inlineStr">
        <is>
          <t>HAZ-002</t>
        </is>
      </c>
      <c r="B3" s="4" t="n">
        <v>3</v>
      </c>
      <c r="C3" s="4" t="n">
        <v>4</v>
      </c>
      <c r="D3" s="4">
        <f>IF(B3=1,IF(C3=1,"Acceptable",IF(C3=2,"Acceptable",IF(C3=3,"Acceptable",IF(C3=4,"Acceptable",IF(C3=5,"ALARP","ERROR"))))),IF(B3=2,IF(C3=1,"Acceptable",IF(C3=2,"Acceptable",IF(C3=3,"ALARP",IF(C3=4,"ALARP",IF(C3=5,"Unacceptable","ERROR"))))),IF(B3=3,IF(C3=1,"Acceptable",IF(C3=2,"ALARP",IF(C3=3,"ALARP",IF(C3=4,"Unacceptable",IF(C3=5,"Unacceptable","ERROR"))))),IF(B3=4,IF(C3=1,"ALARP",IF(C3=2,"ALARP",IF(C3=3,"Unacceptable",IF(C3=4,"Unacceptable",IF(C3=5,"Unacceptable","ERROR"))))),IF(B3=5,IF(C3=1,"ALARP",IF(C3=2,"Unacceptable",IF(C3=3,"Unacceptable",IF(C3=4,"Unacceptable",IF(C3=5,"Unacceptable","ERROR"))))),"ERROR")))))</f>
        <v/>
      </c>
    </row>
    <row r="4">
      <c r="A4" s="4" t="inlineStr">
        <is>
          <t>HAZ-003</t>
        </is>
      </c>
      <c r="B4" s="4" t="n">
        <v>3</v>
      </c>
      <c r="C4" s="4" t="n">
        <v>3</v>
      </c>
      <c r="D4" s="4">
        <f>IF(B4=1,IF(C4=1,"Acceptable",IF(C4=2,"Acceptable",IF(C4=3,"Acceptable",IF(C4=4,"Acceptable",IF(C4=5,"ALARP","ERROR"))))),IF(B4=2,IF(C4=1,"Acceptable",IF(C4=2,"Acceptable",IF(C4=3,"ALARP",IF(C4=4,"ALARP",IF(C4=5,"Unacceptable","ERROR"))))),IF(B4=3,IF(C4=1,"Acceptable",IF(C4=2,"ALARP",IF(C4=3,"ALARP",IF(C4=4,"Unacceptable",IF(C4=5,"Unacceptable","ERROR"))))),IF(B4=4,IF(C4=1,"ALARP",IF(C4=2,"ALARP",IF(C4=3,"Unacceptable",IF(C4=4,"Unacceptable",IF(C4=5,"Unacceptable","ERROR"))))),IF(B4=5,IF(C4=1,"ALARP",IF(C4=2,"Unacceptable",IF(C4=3,"Unacceptable",IF(C4=4,"Unacceptable",IF(C4=5,"Unacceptable","ERROR"))))),"ERROR")))))</f>
        <v/>
      </c>
    </row>
    <row r="5">
      <c r="A5" s="4" t="inlineStr">
        <is>
          <t>HAZ-004</t>
        </is>
      </c>
      <c r="B5" s="4" t="n">
        <v>3</v>
      </c>
      <c r="C5" s="4" t="n">
        <v>2</v>
      </c>
      <c r="D5" s="4">
        <f>IF(B5=1,IF(C5=1,"Acceptable",IF(C5=2,"Acceptable",IF(C5=3,"Acceptable",IF(C5=4,"Acceptable",IF(C5=5,"ALARP","ERROR"))))),IF(B5=2,IF(C5=1,"Acceptable",IF(C5=2,"Acceptable",IF(C5=3,"ALARP",IF(C5=4,"ALARP",IF(C5=5,"Unacceptable","ERROR"))))),IF(B5=3,IF(C5=1,"Acceptable",IF(C5=2,"ALARP",IF(C5=3,"ALARP",IF(C5=4,"Unacceptable",IF(C5=5,"Unacceptable","ERROR"))))),IF(B5=4,IF(C5=1,"ALARP",IF(C5=2,"ALARP",IF(C5=3,"Unacceptable",IF(C5=4,"Unacceptable",IF(C5=5,"Unacceptable","ERROR"))))),IF(B5=5,IF(C5=1,"ALARP",IF(C5=2,"Unacceptable",IF(C5=3,"Unacceptable",IF(C5=4,"Unacceptable",IF(C5=5,"Unacceptable","ERROR"))))),"ERROR")))))</f>
        <v/>
      </c>
    </row>
    <row r="6">
      <c r="A6" s="4" t="inlineStr">
        <is>
          <t>HAZ-005</t>
        </is>
      </c>
      <c r="B6" s="4" t="n">
        <v>2</v>
      </c>
      <c r="C6" s="4" t="n">
        <v>3</v>
      </c>
      <c r="D6" s="4">
        <f>IF(B6=1,IF(C6=1,"Acceptable",IF(C6=2,"Acceptable",IF(C6=3,"Acceptable",IF(C6=4,"Acceptable",IF(C6=5,"ALARP","ERROR"))))),IF(B6=2,IF(C6=1,"Acceptable",IF(C6=2,"Acceptable",IF(C6=3,"ALARP",IF(C6=4,"ALARP",IF(C6=5,"Unacceptable","ERROR"))))),IF(B6=3,IF(C6=1,"Acceptable",IF(C6=2,"ALARP",IF(C6=3,"ALARP",IF(C6=4,"Unacceptable",IF(C6=5,"Unacceptable","ERROR"))))),IF(B6=4,IF(C6=1,"ALARP",IF(C6=2,"ALARP",IF(C6=3,"Unacceptable",IF(C6=4,"Unacceptable",IF(C6=5,"Unacceptable","ERROR"))))),IF(B6=5,IF(C6=1,"ALARP",IF(C6=2,"Unacceptable",IF(C6=3,"Unacceptable",IF(C6=4,"Unacceptable",IF(C6=5,"Unacceptable","ERROR"))))),"ERROR")))))</f>
        <v/>
      </c>
    </row>
  </sheetData>
  <conditionalFormatting sqref="D2:D6">
    <cfRule type="cellIs" priority="1" operator="equal" dxfId="0">
      <formula>"Unacceptable"</formula>
    </cfRule>
    <cfRule type="cellIs" priority="2" operator="equal" dxfId="1">
      <formula>"ALARP"</formula>
    </cfRule>
    <cfRule type="cellIs" priority="3" operator="equal" dxfId="2">
      <formula>"Acceptable"</formula>
    </cfRule>
  </conditionalFormatting>
  <dataValidations count="2">
    <dataValidation sqref="B2 B3 B4 B5 B6" showDropDown="0" showInputMessage="0" showErrorMessage="0" allowBlank="0" errorTitle="Invalid Severity" error="Severity must be between 1 (Negligible) and 5 (Catastrophic)" type="whole" operator="between">
      <formula1>1</formula1>
      <formula2>5</formula2>
    </dataValidation>
    <dataValidation sqref="C2 C3 C4 C5 C6" showDropDown="0" showInputMessage="0" showErrorMessage="0" allowBlank="0" errorTitle="Invalid Probability" error="Probability must be between 1 (Incredible) and 5 (Frequent)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0" customWidth="1" min="4" max="4"/>
  </cols>
  <sheetData>
    <row r="1">
      <c r="A1" s="1" t="inlineStr">
        <is>
          <t>Hazard ID</t>
        </is>
      </c>
      <c r="B1" s="1" t="inlineStr">
        <is>
          <t>Risk Level</t>
        </is>
      </c>
      <c r="C1" s="1" t="inlineStr">
        <is>
          <t>Acceptability</t>
        </is>
      </c>
      <c r="D1" s="1" t="inlineStr">
        <is>
          <t>Rationale</t>
        </is>
      </c>
    </row>
    <row r="2">
      <c r="A2" s="4" t="inlineStr">
        <is>
          <t>HAZ-001</t>
        </is>
      </c>
      <c r="B2" s="4">
        <f>Risk_Estimation!D2</f>
        <v/>
      </c>
      <c r="C2" s="4">
        <f>Risk_Estimation!D2</f>
        <v/>
      </c>
      <c r="D2" s="4" t="inlineStr">
        <is>
          <t>Residual risk is ALARP: dual-threshold with GA adjustment reduces probability to Incredible; further reduction requires fundamentally different sensor technology which is impracticable</t>
        </is>
      </c>
    </row>
    <row r="3">
      <c r="A3" s="4" t="inlineStr">
        <is>
          <t>HAZ-002</t>
        </is>
      </c>
      <c r="B3" s="4">
        <f>Risk_Estimation!D3</f>
        <v/>
      </c>
      <c r="C3" s="4">
        <f>Risk_Estimation!D3</f>
        <v/>
      </c>
      <c r="D3" s="4" t="inlineStr">
        <is>
          <t>Residual risk is ALARP: confidence scoring routes uncertain cases to expert review; residual probability is Improbable</t>
        </is>
      </c>
    </row>
    <row r="4">
      <c r="A4" s="4" t="inlineStr">
        <is>
          <t>HAZ-003</t>
        </is>
      </c>
      <c r="B4" s="4">
        <f>Risk_Estimation!D4</f>
        <v/>
      </c>
      <c r="C4" s="4">
        <f>Risk_Estimation!D4</f>
        <v/>
      </c>
      <c r="D4" s="4" t="inlineStr">
        <is>
          <t>Residual risk is Acceptable: continuous signal check reduces probability to Incredible</t>
        </is>
      </c>
    </row>
    <row r="5">
      <c r="A5" s="4" t="inlineStr">
        <is>
          <t>HAZ-004</t>
        </is>
      </c>
      <c r="B5" s="4">
        <f>Risk_Estimation!D5</f>
        <v/>
      </c>
      <c r="C5" s="4">
        <f>Risk_Estimation!D5</f>
        <v/>
      </c>
      <c r="D5" s="4" t="inlineStr">
        <is>
          <t>Residual risk is Acceptable: validation at admission with boundary checks reduces probability to Incredible</t>
        </is>
      </c>
    </row>
    <row r="6">
      <c r="A6" s="4" t="inlineStr">
        <is>
          <t>HAZ-005</t>
        </is>
      </c>
      <c r="B6" s="4">
        <f>Risk_Estimation!D6</f>
        <v/>
      </c>
      <c r="C6" s="4">
        <f>Risk_Estimation!D6</f>
        <v/>
      </c>
      <c r="D6" s="4" t="inlineStr">
        <is>
          <t>Residual risk is Acceptable: mandatory fields ensure critical data inclusion; probability reduced to Improbable</t>
        </is>
      </c>
    </row>
  </sheetData>
  <conditionalFormatting sqref="C2:C6">
    <cfRule type="cellIs" priority="1" operator="equal" dxfId="0">
      <formula>"Unacceptable"</formula>
    </cfRule>
    <cfRule type="cellIs" priority="2" operator="equal" dxfId="1">
      <formula>"ALARP"</formula>
    </cfRule>
    <cfRule type="cellIs" priority="3" operator="equal" dxfId="2">
      <formula>"Acceptable"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8" customWidth="1" min="4" max="4"/>
    <col width="50" customWidth="1" min="5" max="5"/>
  </cols>
  <sheetData>
    <row r="1">
      <c r="A1" s="1" t="inlineStr">
        <is>
          <t>Control ID</t>
        </is>
      </c>
      <c r="B1" s="1" t="inlineStr">
        <is>
          <t>Hazard ID</t>
        </is>
      </c>
      <c r="C1" s="1" t="inlineStr">
        <is>
          <t>Control Measure</t>
        </is>
      </c>
      <c r="D1" s="1" t="inlineStr">
        <is>
          <t>Type</t>
        </is>
      </c>
      <c r="E1" s="1" t="inlineStr">
        <is>
          <t>Verification Method</t>
        </is>
      </c>
    </row>
    <row r="2">
      <c r="A2" s="4" t="inlineStr">
        <is>
          <t>RC-001</t>
        </is>
      </c>
      <c r="B2" s="4" t="inlineStr">
        <is>
          <t>HAZ-001</t>
        </is>
      </c>
      <c r="C2" s="4" t="inlineStr">
        <is>
          <t>Dual-threshold validation with GA-adjusted limits</t>
        </is>
      </c>
      <c r="D2" s="4" t="inlineStr">
        <is>
          <t>Inherent safety by design</t>
        </is>
      </c>
      <c r="E2" s="4" t="inlineStr">
        <is>
          <t>Unit tests with edge-case SpO2 waveforms; clinical validation against expert labels (n&gt;=200)</t>
        </is>
      </c>
    </row>
    <row r="3">
      <c r="A3" s="4" t="inlineStr">
        <is>
          <t>RC-002</t>
        </is>
      </c>
      <c r="B3" s="4" t="inlineStr">
        <is>
          <t>HAZ-002</t>
        </is>
      </c>
      <c r="C3" s="4" t="inlineStr">
        <is>
          <t>Confidence scoring with expert queue fallback</t>
        </is>
      </c>
      <c r="D3" s="4" t="inlineStr">
        <is>
          <t>Protective measure</t>
        </is>
      </c>
      <c r="E3" s="4" t="inlineStr">
        <is>
          <t>ROC analysis on artifact vs. real desat test set; expert review queue audit (monthly)</t>
        </is>
      </c>
    </row>
    <row r="4">
      <c r="A4" s="4" t="inlineStr">
        <is>
          <t>RC-003</t>
        </is>
      </c>
      <c r="B4" s="4" t="inlineStr">
        <is>
          <t>HAZ-003</t>
        </is>
      </c>
      <c r="C4" s="4" t="inlineStr">
        <is>
          <t>Signal continuity check every 5 seconds</t>
        </is>
      </c>
      <c r="D4" s="4" t="inlineStr">
        <is>
          <t>Protective measure</t>
        </is>
      </c>
      <c r="E4" s="4" t="inlineStr">
        <is>
          <t>Simulated disconnect test (n=50); verify alarm triggers within 10s of signal loss</t>
        </is>
      </c>
    </row>
    <row r="5">
      <c r="A5" s="4" t="inlineStr">
        <is>
          <t>RC-004</t>
        </is>
      </c>
      <c r="B5" s="4" t="inlineStr">
        <is>
          <t>HAZ-004</t>
        </is>
      </c>
      <c r="C5" s="4" t="inlineStr">
        <is>
          <t>GA category validation at admission</t>
        </is>
      </c>
      <c r="D5" s="4" t="inlineStr">
        <is>
          <t>Inherent safety by design</t>
        </is>
      </c>
      <c r="E5" s="4" t="inlineStr">
        <is>
          <t>Input validation unit tests; GA boundary-value testing; admission workflow audit (quarterly)</t>
        </is>
      </c>
    </row>
    <row r="6">
      <c r="A6" s="4" t="inlineStr">
        <is>
          <t>RC-005</t>
        </is>
      </c>
      <c r="B6" s="4" t="inlineStr">
        <is>
          <t>HAZ-005</t>
        </is>
      </c>
      <c r="C6" s="4" t="inlineStr">
        <is>
          <t>Structured template with mandatory fields</t>
        </is>
      </c>
      <c r="D6" s="4" t="inlineStr">
        <is>
          <t>Information for safety</t>
        </is>
      </c>
      <c r="E6" s="4" t="inlineStr">
        <is>
          <t>Template completeness validation; clinician usability testing (n&gt;=10); monthly content audit</t>
        </is>
      </c>
    </row>
  </sheetData>
  <dataValidations count="1">
    <dataValidation sqref="D2 D3 D4 D5 D6" showDropDown="0" showInputMessage="0" showErrorMessage="0" allowBlank="0" errorTitle="Invalid Type" error="Select a valid control type" type="list">
      <formula1>"Inherent safety by design,Protective measure,Information for safety"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8" customWidth="1" min="4" max="4"/>
    <col width="22" customWidth="1" min="5" max="5"/>
    <col width="55" customWidth="1" min="6" max="6"/>
  </cols>
  <sheetData>
    <row r="1">
      <c r="A1" s="1" t="inlineStr">
        <is>
          <t>Control ID</t>
        </is>
      </c>
      <c r="B1" s="1" t="inlineStr">
        <is>
          <t>Hazard ID</t>
        </is>
      </c>
      <c r="C1" s="1" t="inlineStr">
        <is>
          <t>Post-Control Severity (S1-S5)</t>
        </is>
      </c>
      <c r="D1" s="1" t="inlineStr">
        <is>
          <t>Post-Control Probability (P1-P5)</t>
        </is>
      </c>
      <c r="E1" s="1" t="inlineStr">
        <is>
          <t>Residual Risk Level</t>
        </is>
      </c>
      <c r="F1" s="1" t="inlineStr">
        <is>
          <t>Rationale</t>
        </is>
      </c>
    </row>
    <row r="2">
      <c r="A2" s="4" t="inlineStr">
        <is>
          <t>RC-001</t>
        </is>
      </c>
      <c r="B2" s="4" t="inlineStr">
        <is>
          <t>HAZ-001</t>
        </is>
      </c>
      <c r="C2" s="4" t="n">
        <v>4</v>
      </c>
      <c r="D2" s="4" t="n">
        <v>1</v>
      </c>
      <c r="E2" s="4">
        <f>IF(C2=1,IF(D2=1,"Acceptable",IF(D2=2,"Acceptable",IF(D2=3,"Acceptable",IF(D2=4,"Acceptable",IF(D2=5,"ALARP","ERROR"))))),IF(C2=2,IF(D2=1,"Acceptable",IF(D2=2,"Acceptable",IF(D2=3,"ALARP",IF(D2=4,"ALARP",IF(D2=5,"Unacceptable","ERROR"))))),IF(C2=3,IF(D2=1,"Acceptable",IF(D2=2,"ALARP",IF(D2=3,"ALARP",IF(D2=4,"Unacceptable",IF(D2=5,"Unacceptable","ERROR"))))),IF(C2=4,IF(D2=1,"ALARP",IF(D2=2,"ALARP",IF(D2=3,"Unacceptable",IF(D2=4,"Unacceptable",IF(D2=5,"Unacceptable","ERROR"))))),IF(C2=5,IF(D2=1,"ALARP",IF(D2=2,"Unacceptable",IF(D2=3,"Unacceptable",IF(D2=4,"Unacceptable",IF(D2=5,"Unacceptable","ERROR"))))),"ERROR")))))</f>
        <v/>
      </c>
      <c r="F2" s="4" t="inlineStr">
        <is>
          <t>Residual risk is ALARP: dual-threshold with GA adjustment reduces probability to Incredible; further reduction requires fundamentally different sensor technology which is impracticable</t>
        </is>
      </c>
    </row>
    <row r="3">
      <c r="A3" s="4" t="inlineStr">
        <is>
          <t>RC-002</t>
        </is>
      </c>
      <c r="B3" s="4" t="inlineStr">
        <is>
          <t>HAZ-002</t>
        </is>
      </c>
      <c r="C3" s="4" t="n">
        <v>3</v>
      </c>
      <c r="D3" s="4" t="n">
        <v>2</v>
      </c>
      <c r="E3" s="4">
        <f>IF(C3=1,IF(D3=1,"Acceptable",IF(D3=2,"Acceptable",IF(D3=3,"Acceptable",IF(D3=4,"Acceptable",IF(D3=5,"ALARP","ERROR"))))),IF(C3=2,IF(D3=1,"Acceptable",IF(D3=2,"Acceptable",IF(D3=3,"ALARP",IF(D3=4,"ALARP",IF(D3=5,"Unacceptable","ERROR"))))),IF(C3=3,IF(D3=1,"Acceptable",IF(D3=2,"ALARP",IF(D3=3,"ALARP",IF(D3=4,"Unacceptable",IF(D3=5,"Unacceptable","ERROR"))))),IF(C3=4,IF(D3=1,"ALARP",IF(D3=2,"ALARP",IF(D3=3,"Unacceptable",IF(D3=4,"Unacceptable",IF(D3=5,"Unacceptable","ERROR"))))),IF(C3=5,IF(D3=1,"ALARP",IF(D3=2,"Unacceptable",IF(D3=3,"Unacceptable",IF(D3=4,"Unacceptable",IF(D3=5,"Unacceptable","ERROR"))))),"ERROR")))))</f>
        <v/>
      </c>
      <c r="F3" s="4" t="inlineStr">
        <is>
          <t>Residual risk is ALARP: confidence scoring routes uncertain cases to expert review; residual probability is Improbable</t>
        </is>
      </c>
    </row>
    <row r="4">
      <c r="A4" s="4" t="inlineStr">
        <is>
          <t>RC-003</t>
        </is>
      </c>
      <c r="B4" s="4" t="inlineStr">
        <is>
          <t>HAZ-003</t>
        </is>
      </c>
      <c r="C4" s="4" t="n">
        <v>3</v>
      </c>
      <c r="D4" s="4" t="n">
        <v>1</v>
      </c>
      <c r="E4" s="4">
        <f>IF(C4=1,IF(D4=1,"Acceptable",IF(D4=2,"Acceptable",IF(D4=3,"Acceptable",IF(D4=4,"Acceptable",IF(D4=5,"ALARP","ERROR"))))),IF(C4=2,IF(D4=1,"Acceptable",IF(D4=2,"Acceptable",IF(D4=3,"ALARP",IF(D4=4,"ALARP",IF(D4=5,"Unacceptable","ERROR"))))),IF(C4=3,IF(D4=1,"Acceptable",IF(D4=2,"ALARP",IF(D4=3,"ALARP",IF(D4=4,"Unacceptable",IF(D4=5,"Unacceptable","ERROR"))))),IF(C4=4,IF(D4=1,"ALARP",IF(D4=2,"ALARP",IF(D4=3,"Unacceptable",IF(D4=4,"Unacceptable",IF(D4=5,"Unacceptable","ERROR"))))),IF(C4=5,IF(D4=1,"ALARP",IF(D4=2,"Unacceptable",IF(D4=3,"Unacceptable",IF(D4=4,"Unacceptable",IF(D4=5,"Unacceptable","ERROR"))))),"ERROR")))))</f>
        <v/>
      </c>
      <c r="F4" s="4" t="inlineStr">
        <is>
          <t>Residual risk is Acceptable: continuous signal check reduces probability to Incredible</t>
        </is>
      </c>
    </row>
    <row r="5">
      <c r="A5" s="4" t="inlineStr">
        <is>
          <t>RC-004</t>
        </is>
      </c>
      <c r="B5" s="4" t="inlineStr">
        <is>
          <t>HAZ-004</t>
        </is>
      </c>
      <c r="C5" s="4" t="n">
        <v>3</v>
      </c>
      <c r="D5" s="4" t="n">
        <v>1</v>
      </c>
      <c r="E5" s="4">
        <f>IF(C5=1,IF(D5=1,"Acceptable",IF(D5=2,"Acceptable",IF(D5=3,"Acceptable",IF(D5=4,"Acceptable",IF(D5=5,"ALARP","ERROR"))))),IF(C5=2,IF(D5=1,"Acceptable",IF(D5=2,"Acceptable",IF(D5=3,"ALARP",IF(D5=4,"ALARP",IF(D5=5,"Unacceptable","ERROR"))))),IF(C5=3,IF(D5=1,"Acceptable",IF(D5=2,"ALARP",IF(D5=3,"ALARP",IF(D5=4,"Unacceptable",IF(D5=5,"Unacceptable","ERROR"))))),IF(C5=4,IF(D5=1,"ALARP",IF(D5=2,"ALARP",IF(D5=3,"Unacceptable",IF(D5=4,"Unacceptable",IF(D5=5,"Unacceptable","ERROR"))))),IF(C5=5,IF(D5=1,"ALARP",IF(D5=2,"Unacceptable",IF(D5=3,"Unacceptable",IF(D5=4,"Unacceptable",IF(D5=5,"Unacceptable","ERROR"))))),"ERROR")))))</f>
        <v/>
      </c>
      <c r="F5" s="4" t="inlineStr">
        <is>
          <t>Residual risk is Acceptable: validation at admission with boundary checks reduces probability to Incredible</t>
        </is>
      </c>
    </row>
    <row r="6">
      <c r="A6" s="4" t="inlineStr">
        <is>
          <t>RC-005</t>
        </is>
      </c>
      <c r="B6" s="4" t="inlineStr">
        <is>
          <t>HAZ-005</t>
        </is>
      </c>
      <c r="C6" s="4" t="n">
        <v>2</v>
      </c>
      <c r="D6" s="4" t="n">
        <v>2</v>
      </c>
      <c r="E6" s="4">
        <f>IF(C6=1,IF(D6=1,"Acceptable",IF(D6=2,"Acceptable",IF(D6=3,"Acceptable",IF(D6=4,"Acceptable",IF(D6=5,"ALARP","ERROR"))))),IF(C6=2,IF(D6=1,"Acceptable",IF(D6=2,"Acceptable",IF(D6=3,"ALARP",IF(D6=4,"ALARP",IF(D6=5,"Unacceptable","ERROR"))))),IF(C6=3,IF(D6=1,"Acceptable",IF(D6=2,"ALARP",IF(D6=3,"ALARP",IF(D6=4,"Unacceptable",IF(D6=5,"Unacceptable","ERROR"))))),IF(C6=4,IF(D6=1,"ALARP",IF(D6=2,"ALARP",IF(D6=3,"Unacceptable",IF(D6=4,"Unacceptable",IF(D6=5,"Unacceptable","ERROR"))))),IF(C6=5,IF(D6=1,"ALARP",IF(D6=2,"Unacceptable",IF(D6=3,"Unacceptable",IF(D6=4,"Unacceptable",IF(D6=5,"Unacceptable","ERROR"))))),"ERROR")))))</f>
        <v/>
      </c>
      <c r="F6" s="4" t="inlineStr">
        <is>
          <t>Residual risk is Acceptable: mandatory fields ensure critical data inclusion; probability reduced to Improbable</t>
        </is>
      </c>
    </row>
  </sheetData>
  <conditionalFormatting sqref="E2:E6">
    <cfRule type="cellIs" priority="1" operator="equal" dxfId="0">
      <formula>"Unacceptable"</formula>
    </cfRule>
    <cfRule type="cellIs" priority="2" operator="equal" dxfId="1">
      <formula>"ALARP"</formula>
    </cfRule>
    <cfRule type="cellIs" priority="3" operator="equal" dxfId="2">
      <formula>"Acceptable"</formula>
    </cfRule>
  </conditionalFormatting>
  <conditionalFormatting sqref="F2:F6">
    <cfRule type="expression" priority="4" dxfId="0">
      <formula>AND(E2="ALARP",F2="")</formula>
    </cfRule>
  </conditionalFormatting>
  <dataValidations count="2">
    <dataValidation sqref="C2 C3 C4 C5 C6" showDropDown="0" showInputMessage="0" showErrorMessage="0" allowBlank="0" type="whole" operator="between">
      <formula1>1</formula1>
      <formula2>5</formula2>
    </dataValidation>
    <dataValidation sqref="D2 D3 D4 D5 D6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2" customWidth="1" min="3" max="3"/>
    <col width="70" customWidth="1" min="4" max="4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Notes</t>
        </is>
      </c>
    </row>
    <row r="2">
      <c r="A2" s="4" t="inlineStr">
        <is>
          <t>Individual Residual Risks</t>
        </is>
      </c>
      <c r="B2" s="4" t="inlineStr">
        <is>
          <t>All individual hazard residual risks are documented in the Residual_Risk sheet</t>
        </is>
      </c>
      <c r="C2" s="4">
        <f>IF(COUNTIF(Residual_Risk!E:E,"Unacceptable")=0,"Acceptable","Review Required")</f>
        <v/>
      </c>
      <c r="D2" s="4" t="inlineStr"/>
    </row>
    <row r="3">
      <c r="A3" s="4" t="inlineStr">
        <is>
          <t>Risk Interaction Analysis</t>
        </is>
      </c>
      <c r="B3" s="4" t="inlineStr">
        <is>
          <t>Assessment of whether residual risks interact or compound</t>
        </is>
      </c>
      <c r="C3" s="4" t="inlineStr">
        <is>
          <t>Reviewed</t>
        </is>
      </c>
      <c r="D3" s="4" t="inlineStr">
        <is>
          <t>HAZ-001 (misclassification) and HAZ-002 (false artifact) could compound: if artifact flag suppresses real desat AND classification misses it, double failure path exists. Mitigated by expert queue (RC-005) which catches both.</t>
        </is>
      </c>
    </row>
    <row r="4">
      <c r="A4" s="4" t="inlineStr">
        <is>
          <t>Risk Clusters Identified</t>
        </is>
      </c>
      <c r="B4" s="4" t="inlineStr">
        <is>
          <t>Groups of related residual risks</t>
        </is>
      </c>
      <c r="C4" s="4" t="inlineStr">
        <is>
          <t>Documented</t>
        </is>
      </c>
      <c r="D4" s="4" t="inlineStr">
        <is>
          <t>Cluster 1: Information hazards (HAZ-001, HAZ-002, HAZ-005) — all relate to incorrect clinical information. Cluster 2: Detection hazards (HAZ-003, HAZ-004) — relate to system configuration/connectivity.</t>
        </is>
      </c>
    </row>
    <row r="5">
      <c r="A5" s="4" t="inlineStr">
        <is>
          <t>Benefit-Risk Conclusion</t>
        </is>
      </c>
      <c r="B5" s="4" t="inlineStr">
        <is>
          <t>Overall assessment of acceptability considering intended use benefits</t>
        </is>
      </c>
      <c r="C5" s="4" t="inlineStr">
        <is>
          <t>Acceptable</t>
        </is>
      </c>
      <c r="D5" s="4" t="inlineStr">
        <is>
          <t>Benefits of automated SpO2 triage (reduced alarm fatigue, faster clinical response, GA-adjusted thresholds) outweigh residual risks. All unacceptable risks reduced to ALARP or Acceptable. No unacceptable residual risks remain.</t>
        </is>
      </c>
    </row>
    <row r="6">
      <c r="A6" s="4" t="inlineStr">
        <is>
          <t>Post-Market Monitoring Plan</t>
        </is>
      </c>
      <c r="B6" s="4" t="inlineStr">
        <is>
          <t>How field data feeds back into risk analysis</t>
        </is>
      </c>
      <c r="C6" s="4" t="inlineStr">
        <is>
          <t>Defined</t>
        </is>
      </c>
      <c r="D6" s="4" t="inlineStr">
        <is>
          <t>Complaint handling per QMS procedure. Quarterly review of classification accuracy vs. clinical outcomes. CAPA process triggers re-analysis if new failure modes identified.</t>
        </is>
      </c>
    </row>
    <row r="7">
      <c r="A7" s="4" t="inlineStr">
        <is>
          <t>Overall Conclusion</t>
        </is>
      </c>
      <c r="B7" s="3">
        <f>IF(AND(C2="Acceptable",C3="Reviewed",C4="Documented",C5="Acceptable",C6="Defined"),"ACCEPTABLE — Proceed to release","REVIEW REQUIRED — Resolve open items")</f>
        <v/>
      </c>
    </row>
  </sheetData>
  <conditionalFormatting sqref="B7">
    <cfRule type="cellIs" priority="1" operator="containsText" dxfId="0">
      <formula>"REVIEW REQUIRED"</formula>
    </cfRule>
    <cfRule type="cellIs" priority="2" operator="containsText" dxfId="2">
      <formula>"ACCEPTABLE"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Hazard ID</t>
        </is>
      </c>
      <c r="B1" s="1" t="inlineStr">
        <is>
          <t>Failure Mode</t>
        </is>
      </c>
      <c r="C1" s="1" t="inlineStr">
        <is>
          <t>Effect</t>
        </is>
      </c>
      <c r="D1" s="1" t="inlineStr">
        <is>
          <t>Cause</t>
        </is>
      </c>
      <c r="E1" s="1" t="inlineStr">
        <is>
          <t>Severity (S)</t>
        </is>
      </c>
      <c r="F1" s="1" t="inlineStr">
        <is>
          <t>Occurrence (O)</t>
        </is>
      </c>
      <c r="G1" s="1" t="inlineStr">
        <is>
          <t>Detection (D)</t>
        </is>
      </c>
      <c r="H1" s="1" t="inlineStr">
        <is>
          <t>RPN</t>
        </is>
      </c>
    </row>
    <row r="2">
      <c r="A2" s="4" t="inlineStr">
        <is>
          <t>HAZ-001</t>
        </is>
      </c>
      <c r="B2" s="4" t="inlineStr">
        <is>
          <t>Classification algorithm outputs 'normal' for SpO2 &lt; 85%</t>
        </is>
      </c>
      <c r="C2" s="4" t="inlineStr">
        <is>
          <t>No alarm triggered for urgent desaturation</t>
        </is>
      </c>
      <c r="D2" s="4" t="inlineStr">
        <is>
          <t>Model undertrained on preterm-specific waveforms</t>
        </is>
      </c>
      <c r="E2" s="4" t="n">
        <v>8</v>
      </c>
      <c r="F2" s="4" t="n">
        <v>4</v>
      </c>
      <c r="G2" s="4" t="n">
        <v>3</v>
      </c>
      <c r="H2" s="4">
        <f>E2*F2*G2</f>
        <v/>
      </c>
    </row>
    <row r="3">
      <c r="A3" s="4" t="inlineStr">
        <is>
          <t>HAZ-002</t>
        </is>
      </c>
      <c r="B3" s="4" t="inlineStr">
        <is>
          <t>Artifact filter rejects waveform segments with SpO2 &lt; 88%</t>
        </is>
      </c>
      <c r="C3" s="4" t="inlineStr">
        <is>
          <t>Desaturation event not recorded or alarmed</t>
        </is>
      </c>
      <c r="D3" s="4" t="inlineStr">
        <is>
          <t>Artifact filter threshold too aggressive for low-signal conditions</t>
        </is>
      </c>
      <c r="E3" s="4" t="n">
        <v>6</v>
      </c>
      <c r="F3" s="4" t="n">
        <v>5</v>
      </c>
      <c r="G3" s="4" t="n">
        <v>4</v>
      </c>
      <c r="H3" s="4">
        <f>E3*F3*G3</f>
        <v/>
      </c>
    </row>
    <row r="4">
      <c r="A4" s="4" t="inlineStr">
        <is>
          <t>HAZ-003</t>
        </is>
      </c>
      <c r="B4" s="4" t="inlineStr">
        <is>
          <t>System does not generate disconnect alarm within 30s</t>
        </is>
      </c>
      <c r="C4" s="4" t="inlineStr">
        <is>
          <t>Monitoring gap during sensor disconnect</t>
        </is>
      </c>
      <c r="D4" s="4" t="inlineStr">
        <is>
          <t>Signal loss detection logic has timeout &gt; clinical threshold</t>
        </is>
      </c>
      <c r="E4" s="4" t="n">
        <v>6</v>
      </c>
      <c r="F4" s="4" t="n">
        <v>3</v>
      </c>
      <c r="G4" s="4" t="n">
        <v>2</v>
      </c>
      <c r="H4" s="4">
        <f>E4*F4*G4</f>
        <v/>
      </c>
    </row>
    <row r="5">
      <c r="A5" s="4" t="inlineStr">
        <is>
          <t>HAZ-004</t>
        </is>
      </c>
      <c r="B5" s="4" t="inlineStr">
        <is>
          <t>GA lookup returns incorrect category for edge-case gestational ages</t>
        </is>
      </c>
      <c r="C5" s="4" t="inlineStr">
        <is>
          <t>SpO2 thresholds do not match patient's clinical profile</t>
        </is>
      </c>
      <c r="D5" s="4" t="inlineStr">
        <is>
          <t>Off-by-one error in GA week boundary logic</t>
        </is>
      </c>
      <c r="E5" s="4" t="n">
        <v>6</v>
      </c>
      <c r="F5" s="4" t="n">
        <v>3</v>
      </c>
      <c r="G5" s="4" t="n">
        <v>2</v>
      </c>
      <c r="H5" s="4">
        <f>E5*F5*G5</f>
        <v/>
      </c>
    </row>
    <row r="6">
      <c r="A6" s="4" t="inlineStr">
        <is>
          <t>HAZ-005</t>
        </is>
      </c>
      <c r="B6" s="4" t="inlineStr">
        <is>
          <t>Handoff template renders with empty mandatory fields</t>
        </is>
      </c>
      <c r="C6" s="4" t="inlineStr">
        <is>
          <t>Clinician receives incomplete handoff information</t>
        </is>
      </c>
      <c r="D6" s="4" t="inlineStr">
        <is>
          <t>Template logic does not enforce required field population</t>
        </is>
      </c>
      <c r="E6" s="4" t="n">
        <v>4</v>
      </c>
      <c r="F6" s="4" t="n">
        <v>4</v>
      </c>
      <c r="G6" s="4" t="n">
        <v>3</v>
      </c>
      <c r="H6" s="4">
        <f>E6*F6*G6</f>
        <v/>
      </c>
    </row>
  </sheetData>
  <conditionalFormatting sqref="H2:H6">
    <cfRule type="cellIs" priority="1" operator="greaterThanOrEqual" dxfId="0">
      <formula>150</formula>
    </cfRule>
    <cfRule type="cellIs" priority="2" operator="between" dxfId="1">
      <formula>100</formula>
      <formula>149</formula>
    </cfRule>
    <cfRule type="cellIs" priority="3" operator="lessThan" dxfId="2">
      <formula>100</formula>
    </cfRule>
  </conditionalFormatting>
  <dataValidations count="3">
    <dataValidation sqref="E2 E3 E4 E5 E6" showDropDown="0" showInputMessage="0" showErrorMessage="0" allowBlank="0" error="Value must be between 1 and 10" type="whole" operator="between">
      <formula1>1</formula1>
      <formula2>10</formula2>
    </dataValidation>
    <dataValidation sqref="F2 F3 F4 F5 F6" showDropDown="0" showInputMessage="0" showErrorMessage="0" allowBlank="0" error="Value must be between 1 and 10" type="whole" operator="between">
      <formula1>1</formula1>
      <formula2>10</formula2>
    </dataValidation>
    <dataValidation sqref="G2 G3 G4 G5 G6" showDropDown="0" showInputMessage="0" showErrorMessage="0" allowBlank="0" error="Value must be between 1 and 10" type="whole" operator="between">
      <formula1>1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2026-04-29T05:02:08Z</dcterms:created>
  <dcterms:modified xmlns:dcterms="http://purl.org/dc/terms/" xmlns:xsi="http://www.w3.org/2001/XMLSchema-instance" xsi:type="dcterms:W3CDTF">2026-04-29T05:02:08Z</dcterms:modified>
</cp:coreProperties>
</file>