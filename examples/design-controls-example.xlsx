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User_Needs" sheetId="2" state="visible" r:id="rId2"/>
    <sheet xmlns:r="http://schemas.openxmlformats.org/officeDocument/2006/relationships" name="Design_Inputs" sheetId="3" state="visible" r:id="rId3"/>
    <sheet xmlns:r="http://schemas.openxmlformats.org/officeDocument/2006/relationships" name="Design_Outputs" sheetId="4" state="visible" r:id="rId4"/>
    <sheet xmlns:r="http://schemas.openxmlformats.org/officeDocument/2006/relationships" name="Verification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Traceability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  <col width="20" customWidth="1" min="4" max="4"/>
  </cols>
  <sheetData>
    <row r="1">
      <c r="A1" s="1" t="inlineStr">
        <is>
          <t>Document Control</t>
        </is>
      </c>
      <c r="B1" s="2" t="n"/>
      <c r="C1" s="2" t="n"/>
      <c r="D1" s="2" t="n"/>
    </row>
    <row r="3">
      <c r="A3" s="3" t="inlineStr">
        <is>
          <t>Document Title</t>
        </is>
      </c>
      <c r="B3" s="4" t="inlineStr">
        <is>
          <t>Design Controls — SpO2 AI Eval Pipeline</t>
        </is>
      </c>
    </row>
    <row r="4">
      <c r="A4" s="3" t="inlineStr">
        <is>
          <t>Document Version</t>
        </is>
      </c>
      <c r="B4" s="4" t="inlineStr">
        <is>
          <t>1.0</t>
        </is>
      </c>
    </row>
    <row r="5">
      <c r="A5" s="3" t="inlineStr">
        <is>
          <t>Device/Software Version</t>
        </is>
      </c>
      <c r="B5" s="4" t="inlineStr">
        <is>
          <t>SpO2 AI Eval Pipeline v2.1</t>
        </is>
      </c>
    </row>
    <row r="6">
      <c r="A6" s="3" t="inlineStr">
        <is>
          <t>Date Generated</t>
        </is>
      </c>
      <c r="B6" s="4" t="inlineStr">
        <is>
          <t>2026-04-28</t>
        </is>
      </c>
    </row>
    <row r="7">
      <c r="A7" s="3" t="inlineStr">
        <is>
          <t>Safety Class</t>
        </is>
      </c>
      <c r="B7" s="4" t="inlineStr">
        <is>
          <t>C</t>
        </is>
      </c>
    </row>
    <row r="8">
      <c r="A8" s="3" t="inlineStr">
        <is>
          <t>QMS Document Number</t>
        </is>
      </c>
      <c r="B8" s="4" t="inlineStr"/>
    </row>
    <row r="9">
      <c r="A9" s="3" t="inlineStr">
        <is>
          <t>SOP Reference</t>
        </is>
      </c>
      <c r="B9" s="4" t="inlineStr"/>
    </row>
    <row r="10">
      <c r="A10" s="3" t="inlineStr">
        <is>
          <t>Related Risk Management File</t>
        </is>
      </c>
      <c r="B10" s="4" t="inlineStr"/>
    </row>
    <row r="12">
      <c r="A12" s="3" t="inlineStr">
        <is>
          <t>Approval Signatures</t>
        </is>
      </c>
      <c r="B12" s="5" t="n"/>
      <c r="C12" s="5" t="n"/>
      <c r="D12" s="5" t="n"/>
    </row>
    <row r="13">
      <c r="A13" s="1" t="inlineStr">
        <is>
          <t>Role</t>
        </is>
      </c>
      <c r="B13" s="1" t="inlineStr">
        <is>
          <t>Name</t>
        </is>
      </c>
      <c r="C13" s="1" t="inlineStr">
        <is>
          <t>Date</t>
        </is>
      </c>
      <c r="D13" s="1" t="inlineStr">
        <is>
          <t>Signature</t>
        </is>
      </c>
    </row>
    <row r="14">
      <c r="A14" s="4" t="inlineStr">
        <is>
          <t>Prepared By</t>
        </is>
      </c>
      <c r="B14" s="4" t="inlineStr"/>
      <c r="C14" s="4" t="inlineStr"/>
      <c r="D14" s="4" t="inlineStr"/>
    </row>
    <row r="15">
      <c r="A15" s="4" t="inlineStr">
        <is>
          <t>Reviewed By (QA)</t>
        </is>
      </c>
      <c r="B15" s="4" t="inlineStr"/>
      <c r="C15" s="4" t="inlineStr"/>
      <c r="D15" s="4" t="inlineStr"/>
    </row>
    <row r="16">
      <c r="A16" s="4" t="inlineStr">
        <is>
          <t>Approved By (Management)</t>
        </is>
      </c>
      <c r="B16" s="4" t="inlineStr"/>
      <c r="C16" s="4" t="inlineStr"/>
      <c r="D16" s="4" t="inlineStr"/>
    </row>
  </sheetData>
  <mergeCells count="2">
    <mergeCell ref="A1:D1"/>
    <mergeCell ref="A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7" customWidth="1" min="3" max="3"/>
    <col width="12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Need Statement</t>
        </is>
      </c>
      <c r="C1" s="1" t="inlineStr">
        <is>
          <t>Source</t>
        </is>
      </c>
      <c r="D1" s="1" t="inlineStr">
        <is>
          <t>Priority</t>
        </is>
      </c>
      <c r="E1" s="1" t="inlineStr">
        <is>
          <t>Acceptance Criteria</t>
        </is>
      </c>
    </row>
    <row r="2">
      <c r="A2" s="4" t="inlineStr">
        <is>
          <t>UN-001</t>
        </is>
      </c>
      <c r="B2" s="4" t="inlineStr">
        <is>
          <t>System shall classify SpO2 traces into urgency tiers (normal, borderline, urgent, emergency)</t>
        </is>
      </c>
      <c r="C2" s="4" t="inlineStr">
        <is>
          <t>Clinical Requirements</t>
        </is>
      </c>
      <c r="D2" s="4" t="inlineStr">
        <is>
          <t>High</t>
        </is>
      </c>
      <c r="E2" s="4" t="inlineStr">
        <is>
          <t>Classification accuracy &gt;= 85% across all tiers on held-out test set</t>
        </is>
      </c>
    </row>
    <row r="3">
      <c r="A3" s="4" t="inlineStr">
        <is>
          <t>UN-002</t>
        </is>
      </c>
      <c r="B3" s="4" t="inlineStr">
        <is>
          <t>System shall detect desaturation events below GA-adjusted thresholds</t>
        </is>
      </c>
      <c r="C3" s="4" t="inlineStr">
        <is>
          <t>Neonatal Guidelines (Castillo 2008)</t>
        </is>
      </c>
      <c r="D3" s="4" t="inlineStr">
        <is>
          <t>High</t>
        </is>
      </c>
      <c r="E3" s="4" t="inlineStr">
        <is>
          <t>Sensitivity &gt;= 90% for desaturation events; false negative rate &lt; 5%</t>
        </is>
      </c>
    </row>
    <row r="4">
      <c r="A4" s="4" t="inlineStr">
        <is>
          <t>UN-003</t>
        </is>
      </c>
      <c r="B4" s="4" t="inlineStr">
        <is>
          <t>System shall generate structured handoff reports for clinical review</t>
        </is>
      </c>
      <c r="C4" s="4" t="inlineStr">
        <is>
          <t>Nurse Workflow Analysis</t>
        </is>
      </c>
      <c r="D4" s="4" t="inlineStr">
        <is>
          <t>Medium</t>
        </is>
      </c>
      <c r="E4" s="4" t="inlineStr">
        <is>
          <t>Reports contain all required fields per SBAR format; 95% nurse satisfaction</t>
        </is>
      </c>
    </row>
    <row r="5">
      <c r="A5" s="4" t="inlineStr">
        <is>
          <t>UN-004</t>
        </is>
      </c>
      <c r="B5" s="4" t="inlineStr">
        <is>
          <t>System shall flag motion artifacts using accelerometer correlation</t>
        </is>
      </c>
      <c r="C5" s="4" t="inlineStr">
        <is>
          <t>Signal Processing Requirements</t>
        </is>
      </c>
      <c r="D5" s="4" t="inlineStr">
        <is>
          <t>Medium</t>
        </is>
      </c>
      <c r="E5" s="4" t="inlineStr">
        <is>
          <t>Artifact detection precision &gt;= 80%; recall &gt;= 75%</t>
        </is>
      </c>
    </row>
    <row r="6">
      <c r="A6" s="4" t="inlineStr">
        <is>
          <t>UN-005</t>
        </is>
      </c>
      <c r="B6" s="4" t="inlineStr">
        <is>
          <t>System shall route ambiguous cases to expert queue with confidence scores</t>
        </is>
      </c>
      <c r="C6" s="4" t="inlineStr">
        <is>
          <t>Clinical Safety Assessment</t>
        </is>
      </c>
      <c r="D6" s="4" t="inlineStr">
        <is>
          <t>High</t>
        </is>
      </c>
      <c r="E6" s="4" t="inlineStr">
        <is>
          <t>All cases with confidence &lt; 0.7 routed to expert queue; zero missed critical cases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3" customWidth="1" min="4" max="4"/>
    <col width="17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Linked UN</t>
        </is>
      </c>
      <c r="C1" s="1" t="inlineStr">
        <is>
          <t>Requirement</t>
        </is>
      </c>
      <c r="D1" s="1" t="inlineStr">
        <is>
          <t>Type</t>
        </is>
      </c>
      <c r="E1" s="1" t="inlineStr">
        <is>
          <t>SW Safety Class</t>
        </is>
      </c>
      <c r="F1" s="1" t="inlineStr">
        <is>
          <t>Safety Class Rationale</t>
        </is>
      </c>
    </row>
    <row r="2">
      <c r="A2" s="4" t="inlineStr">
        <is>
          <t>DI-001</t>
        </is>
      </c>
      <c r="B2" s="4" t="inlineStr">
        <is>
          <t>UN-001</t>
        </is>
      </c>
      <c r="C2" s="4" t="inlineStr">
        <is>
          <t>Implement 4-tier classification (normal &gt;= 95%, borderline 90-94%, urgent 85-89%, emergency &lt; 85%) with GA-adjusted thresholds</t>
        </is>
      </c>
      <c r="D2" s="4" t="inlineStr">
        <is>
          <t>Functional</t>
        </is>
      </c>
      <c r="E2" s="4" t="inlineStr">
        <is>
          <t>C</t>
        </is>
      </c>
      <c r="F2" s="4" t="inlineStr">
        <is>
          <t>Class C: Controls desaturation detection; misclassification could delay clinical intervention causing serious harm</t>
        </is>
      </c>
    </row>
    <row r="3">
      <c r="A3" s="4" t="inlineStr">
        <is>
          <t>DI-002</t>
        </is>
      </c>
      <c r="B3" s="4" t="inlineStr">
        <is>
          <t>UN-002</t>
        </is>
      </c>
      <c r="C3" s="4" t="inlineStr">
        <is>
          <t>Detect SpO2 drops &gt;= 4% from baseline sustained for &gt;= 10 seconds, adjusted by gestational age per Castillo 2008 reference ranges</t>
        </is>
      </c>
      <c r="D3" s="4" t="inlineStr">
        <is>
          <t>Performance</t>
        </is>
      </c>
      <c r="E3" s="4" t="inlineStr">
        <is>
          <t>C</t>
        </is>
      </c>
      <c r="F3" s="4" t="inlineStr">
        <is>
          <t>Class C: Desat detection failure could result in undetected hypoxemia</t>
        </is>
      </c>
    </row>
    <row r="4">
      <c r="A4" s="4" t="inlineStr">
        <is>
          <t>DI-003</t>
        </is>
      </c>
      <c r="B4" s="4" t="inlineStr">
        <is>
          <t>UN-003</t>
        </is>
      </c>
      <c r="C4" s="4" t="inlineStr">
        <is>
          <t>Generate JSON-structured handoff reports including patient ID, tier classification, desaturation events, trend summary, and recommended actions</t>
        </is>
      </c>
      <c r="D4" s="4" t="inlineStr">
        <is>
          <t>Functional</t>
        </is>
      </c>
      <c r="E4" s="4" t="inlineStr">
        <is>
          <t>B</t>
        </is>
      </c>
      <c r="F4" s="4" t="inlineStr">
        <is>
          <t>Class B: Report generation supports clinical workflow; failure delays but does not prevent intervention (alarms still active)</t>
        </is>
      </c>
    </row>
    <row r="5">
      <c r="A5" s="4" t="inlineStr">
        <is>
          <t>DI-004</t>
        </is>
      </c>
      <c r="B5" s="4" t="inlineStr">
        <is>
          <t>UN-004</t>
        </is>
      </c>
      <c r="C5" s="4" t="inlineStr">
        <is>
          <t>Correlate accelerometer signal with SpO2 waveform; flag segments where motion correlation coefficient &gt; 0.6 as artifact-contaminated</t>
        </is>
      </c>
      <c r="D5" s="4" t="inlineStr">
        <is>
          <t>Performance</t>
        </is>
      </c>
      <c r="E5" s="4" t="inlineStr">
        <is>
          <t>B</t>
        </is>
      </c>
      <c r="F5" s="4" t="inlineStr">
        <is>
          <t>Class B: Artifact flagging is supportive; false artifact flag on real data is caught by expert review queue</t>
        </is>
      </c>
    </row>
    <row r="6">
      <c r="A6" s="4" t="inlineStr">
        <is>
          <t>DI-005</t>
        </is>
      </c>
      <c r="B6" s="4" t="inlineStr">
        <is>
          <t>UN-005</t>
        </is>
      </c>
      <c r="C6" s="4" t="inlineStr">
        <is>
          <t>Calculate classification confidence score (0.0-1.0) per trace; route to expert queue when confidence &lt; 0.7; include top 3 differential classifications</t>
        </is>
      </c>
      <c r="D6" s="4" t="inlineStr">
        <is>
          <t>Safety</t>
        </is>
      </c>
      <c r="E6" s="4" t="inlineStr">
        <is>
          <t>C</t>
        </is>
      </c>
      <c r="F6" s="4" t="inlineStr">
        <is>
          <t>Class C: Expert queue routing failure could suppress ambiguous cases requiring clinical judgment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1" customWidth="1" min="4" max="4"/>
  </cols>
  <sheetData>
    <row r="1">
      <c r="A1" s="1" t="inlineStr">
        <is>
          <t>ID</t>
        </is>
      </c>
      <c r="B1" s="1" t="inlineStr">
        <is>
          <t>Linked DI</t>
        </is>
      </c>
      <c r="C1" s="1" t="inlineStr">
        <is>
          <t>Output Description</t>
        </is>
      </c>
      <c r="D1" s="1" t="inlineStr">
        <is>
          <t>Verification Method</t>
        </is>
      </c>
    </row>
    <row r="2">
      <c r="A2" s="4" t="inlineStr">
        <is>
          <t>DO-001</t>
        </is>
      </c>
      <c r="B2" s="4" t="inlineStr">
        <is>
          <t>DI-001</t>
        </is>
      </c>
      <c r="C2" s="4" t="inlineStr">
        <is>
          <t>Tier classification module with GA-adjusted threshold lookup table and 4-class output enum</t>
        </is>
      </c>
      <c r="D2" s="4" t="inlineStr">
        <is>
          <t>Test</t>
        </is>
      </c>
    </row>
    <row r="3">
      <c r="A3" s="4" t="inlineStr">
        <is>
          <t>DO-002</t>
        </is>
      </c>
      <c r="B3" s="4" t="inlineStr">
        <is>
          <t>DI-002</t>
        </is>
      </c>
      <c r="C3" s="4" t="inlineStr">
        <is>
          <t>Desaturation detection algorithm with configurable baseline window and duration filter</t>
        </is>
      </c>
      <c r="D3" s="4" t="inlineStr">
        <is>
          <t>Test</t>
        </is>
      </c>
    </row>
    <row r="4">
      <c r="A4" s="4" t="inlineStr">
        <is>
          <t>DO-003</t>
        </is>
      </c>
      <c r="B4" s="4" t="inlineStr">
        <is>
          <t>DI-003</t>
        </is>
      </c>
      <c r="C4" s="4" t="inlineStr">
        <is>
          <t>Handoff report generator producing SBAR-format JSON with all required clinical fields</t>
        </is>
      </c>
      <c r="D4" s="4" t="inlineStr">
        <is>
          <t>Inspection</t>
        </is>
      </c>
    </row>
    <row r="5">
      <c r="A5" s="4" t="inlineStr">
        <is>
          <t>DO-004</t>
        </is>
      </c>
      <c r="B5" s="4" t="inlineStr">
        <is>
          <t>DI-004</t>
        </is>
      </c>
      <c r="C5" s="4" t="inlineStr">
        <is>
          <t>Motion artifact detector using sliding-window cross-correlation with accelerometer channel</t>
        </is>
      </c>
      <c r="D5" s="4" t="inlineStr">
        <is>
          <t>Test</t>
        </is>
      </c>
    </row>
    <row r="6">
      <c r="A6" s="4" t="inlineStr">
        <is>
          <t>DO-005</t>
        </is>
      </c>
      <c r="B6" s="4" t="inlineStr">
        <is>
          <t>DI-005</t>
        </is>
      </c>
      <c r="C6" s="4" t="inlineStr">
        <is>
          <t>Confidence scoring module with softmax-based certainty metric and expert routing logic</t>
        </is>
      </c>
      <c r="D6" s="4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Linked DO</t>
        </is>
      </c>
      <c r="C1" s="1" t="inlineStr">
        <is>
          <t>Test Protocol</t>
        </is>
      </c>
      <c r="D1" s="1" t="inlineStr">
        <is>
          <t>Pass Criteria</t>
        </is>
      </c>
      <c r="E1" s="1" t="inlineStr">
        <is>
          <t>Status</t>
        </is>
      </c>
      <c r="F1" s="1" t="inlineStr">
        <is>
          <t>Test Data Source</t>
        </is>
      </c>
    </row>
    <row r="2">
      <c r="A2" s="4" t="inlineStr">
        <is>
          <t>VER-001</t>
        </is>
      </c>
      <c r="B2" s="4" t="inlineStr">
        <is>
          <t>DO-001</t>
        </is>
      </c>
      <c r="C2" s="4" t="inlineStr">
        <is>
          <t>TP-001: Run classifier on 500-sample test set with known tier labels</t>
        </is>
      </c>
      <c r="D2" s="4" t="inlineStr">
        <is>
          <t>Overall accuracy &gt;= 85%; per-tier F1 &gt;= 0.80</t>
        </is>
      </c>
      <c r="E2" s="4" t="inlineStr">
        <is>
          <t>Pending</t>
        </is>
      </c>
      <c r="F2" s="4" t="inlineStr">
        <is>
          <t>Synthetic dataset, N=300 traces, algorithm-generated per GA category</t>
        </is>
      </c>
    </row>
    <row r="3">
      <c r="A3" s="4" t="inlineStr">
        <is>
          <t>VER-002</t>
        </is>
      </c>
      <c r="B3" s="4" t="inlineStr">
        <is>
          <t>DO-002</t>
        </is>
      </c>
      <c r="C3" s="4" t="inlineStr">
        <is>
          <t>TP-002: Inject synthetic desaturation events at known timestamps into 100 traces</t>
        </is>
      </c>
      <c r="D3" s="4" t="inlineStr">
        <is>
          <t>Sensitivity &gt;= 90%; false negative rate &lt; 5%</t>
        </is>
      </c>
      <c r="E3" s="4" t="inlineStr">
        <is>
          <t>Pending</t>
        </is>
      </c>
      <c r="F3" s="4" t="inlineStr">
        <is>
          <t>Internal NICU reference dataset, N=500 annotated events (Castillo 2008 thresholds)</t>
        </is>
      </c>
    </row>
    <row r="4">
      <c r="A4" s="4" t="inlineStr">
        <is>
          <t>VER-003</t>
        </is>
      </c>
      <c r="B4" s="4" t="inlineStr">
        <is>
          <t>DO-003</t>
        </is>
      </c>
      <c r="C4" s="4" t="inlineStr">
        <is>
          <t>TP-003: Validate 50 generated reports against SBAR field schema</t>
        </is>
      </c>
      <c r="D4" s="4" t="inlineStr">
        <is>
          <t>100% schema compliance; all required fields present</t>
        </is>
      </c>
      <c r="E4" s="4" t="inlineStr">
        <is>
          <t>Pending</t>
        </is>
      </c>
      <c r="F4" s="4" t="inlineStr">
        <is>
          <t>Synthetic handoff reports, N=50, template-validated</t>
        </is>
      </c>
    </row>
    <row r="5">
      <c r="A5" s="4" t="inlineStr">
        <is>
          <t>VER-004</t>
        </is>
      </c>
      <c r="B5" s="4" t="inlineStr">
        <is>
          <t>DO-004</t>
        </is>
      </c>
      <c r="C5" s="4" t="inlineStr">
        <is>
          <t>TP-004: Run artifact detector on 200 segments with labeled motion/no-motion ground truth</t>
        </is>
      </c>
      <c r="D5" s="4" t="inlineStr">
        <is>
          <t>Precision &gt;= 80%; recall &gt;= 75%</t>
        </is>
      </c>
      <c r="E5" s="4" t="inlineStr">
        <is>
          <t>Pending</t>
        </is>
      </c>
      <c r="F5" s="4" t="inlineStr">
        <is>
          <t>Synthetic motion artifact dataset, N=200 traces with accelerometer correlation</t>
        </is>
      </c>
    </row>
    <row r="6">
      <c r="A6" s="4" t="inlineStr">
        <is>
          <t>VER-005</t>
        </is>
      </c>
      <c r="B6" s="4" t="inlineStr">
        <is>
          <t>DO-005</t>
        </is>
      </c>
      <c r="C6" s="4" t="inlineStr">
        <is>
          <t>TP-005: Verify routing logic on 300 cases spanning confidence range 0.0-1.0</t>
        </is>
      </c>
      <c r="D6" s="4" t="inlineStr">
        <is>
          <t>100% of cases with confidence &lt; 0.7 routed; zero missed critical (emergency tier)</t>
        </is>
      </c>
      <c r="E6" s="4" t="inlineStr">
        <is>
          <t>Pending</t>
        </is>
      </c>
      <c r="F6" s="4" t="inlineStr">
        <is>
          <t>Synthetic ambiguous cases, N=100, confidence score distribution validated</t>
        </is>
      </c>
    </row>
  </sheetData>
  <conditionalFormatting sqref="E2:E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</conditionalFormatting>
  <dataValidations count="1">
    <dataValidation sqref="E2:E6" showDropDown="0" showInputMessage="0" showErrorMessage="1" allowBlank="0" errorTitle="Invalid Status" error="Status must be Pass, Fail, or Pending.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Linked UN</t>
        </is>
      </c>
      <c r="C1" s="1" t="inlineStr">
        <is>
          <t>Validation Method</t>
        </is>
      </c>
      <c r="D1" s="1" t="inlineStr">
        <is>
          <t>Acceptance Criteria</t>
        </is>
      </c>
      <c r="E1" s="1" t="inlineStr">
        <is>
          <t>Status</t>
        </is>
      </c>
    </row>
    <row r="2">
      <c r="A2" s="4" t="inlineStr">
        <is>
          <t>VAL-001</t>
        </is>
      </c>
      <c r="B2" s="4" t="inlineStr">
        <is>
          <t>UN-001</t>
        </is>
      </c>
      <c r="C2" s="4" t="inlineStr">
        <is>
          <t>Clinical simulation with 3 neonatologists reviewing 100 classified traces</t>
        </is>
      </c>
      <c r="D2" s="4" t="inlineStr">
        <is>
          <t>Clinician agreement with system classification &gt;= 85%</t>
        </is>
      </c>
      <c r="E2" s="4" t="inlineStr">
        <is>
          <t>Pending</t>
        </is>
      </c>
    </row>
    <row r="3">
      <c r="A3" s="4" t="inlineStr">
        <is>
          <t>VAL-002</t>
        </is>
      </c>
      <c r="B3" s="4" t="inlineStr">
        <is>
          <t>UN-002</t>
        </is>
      </c>
      <c r="C3" s="4" t="inlineStr">
        <is>
          <t>Retrospective analysis on NICU dataset with chart-confirmed desaturation events</t>
        </is>
      </c>
      <c r="D3" s="4" t="inlineStr">
        <is>
          <t>Sensitivity &gt;= 90% vs. chart-confirmed events</t>
        </is>
      </c>
      <c r="E3" s="4" t="inlineStr">
        <is>
          <t>Pending</t>
        </is>
      </c>
    </row>
    <row r="4">
      <c r="A4" s="4" t="inlineStr">
        <is>
          <t>VAL-003</t>
        </is>
      </c>
      <c r="B4" s="4" t="inlineStr">
        <is>
          <t>UN-003</t>
        </is>
      </c>
      <c r="C4" s="4" t="inlineStr">
        <is>
          <t>Usability study: 10 NICU nurses use handoff reports in simulated shift change</t>
        </is>
      </c>
      <c r="D4" s="4" t="inlineStr">
        <is>
          <t>&gt;= 95% task completion; SUS score &gt;= 70</t>
        </is>
      </c>
      <c r="E4" s="4" t="inlineStr">
        <is>
          <t>Pending</t>
        </is>
      </c>
    </row>
    <row r="5">
      <c r="A5" s="4" t="inlineStr">
        <is>
          <t>VAL-004</t>
        </is>
      </c>
      <c r="B5" s="4" t="inlineStr">
        <is>
          <t>UN-004</t>
        </is>
      </c>
      <c r="C5" s="4" t="inlineStr">
        <is>
          <t>Bench test with motion simulator generating known artifact patterns</t>
        </is>
      </c>
      <c r="D5" s="4" t="inlineStr">
        <is>
          <t>Artifact detection aligns with expert annotation in &gt;= 80% of segments</t>
        </is>
      </c>
      <c r="E5" s="4" t="inlineStr">
        <is>
          <t>Pending</t>
        </is>
      </c>
    </row>
    <row r="6">
      <c r="A6" s="4" t="inlineStr">
        <is>
          <t>VAL-005</t>
        </is>
      </c>
      <c r="B6" s="4" t="inlineStr">
        <is>
          <t>UN-005</t>
        </is>
      </c>
      <c r="C6" s="4" t="inlineStr">
        <is>
          <t>Prospective pilot: expert queue reviewed by senior clinician over 2-week period</t>
        </is>
      </c>
      <c r="D6" s="4" t="inlineStr">
        <is>
          <t>Zero false negatives for emergency-tier cases; expert queue volume &lt; 20% of total</t>
        </is>
      </c>
      <c r="E6" s="4" t="inlineStr">
        <is>
          <t>Pending</t>
        </is>
      </c>
    </row>
  </sheetData>
  <conditionalFormatting sqref="E2:E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</conditionalFormatting>
  <dataValidations count="1">
    <dataValidation sqref="E2:E6" showDropDown="0" showInputMessage="0" showErrorMessage="1" allowBlank="0" errorTitle="Invalid Status" error="Status must be Pass, Fail, or Pending." type="list">
      <formula1>"Pass,Fail,Pending"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35" customWidth="1" min="3" max="3"/>
    <col width="40" customWidth="1" min="4" max="4"/>
    <col width="35" customWidth="1" min="5" max="5"/>
    <col width="41" customWidth="1" min="6" max="6"/>
    <col width="38" customWidth="1" min="7" max="7"/>
    <col width="39" customWidth="1" min="8" max="8"/>
    <col width="12" customWidth="1" min="9" max="9"/>
    <col width="37" customWidth="1" min="10" max="10"/>
  </cols>
  <sheetData>
    <row r="1">
      <c r="A1" s="1" t="inlineStr">
        <is>
          <t>UN ID</t>
        </is>
      </c>
      <c r="B1" s="1" t="inlineStr">
        <is>
          <t>User Need</t>
        </is>
      </c>
      <c r="C1" s="1" t="inlineStr">
        <is>
          <t>DI ID</t>
        </is>
      </c>
      <c r="D1" s="1" t="inlineStr">
        <is>
          <t>Design Input</t>
        </is>
      </c>
      <c r="E1" s="1" t="inlineStr">
        <is>
          <t>DO ID</t>
        </is>
      </c>
      <c r="F1" s="1" t="inlineStr">
        <is>
          <t>Design Output</t>
        </is>
      </c>
      <c r="G1" s="1" t="inlineStr">
        <is>
          <t>VER ID</t>
        </is>
      </c>
      <c r="H1" s="1" t="inlineStr">
        <is>
          <t>VER Status</t>
        </is>
      </c>
      <c r="I1" s="1" t="inlineStr">
        <is>
          <t>VAL ID</t>
        </is>
      </c>
      <c r="J1" s="1" t="inlineStr">
        <is>
          <t>VAL Status</t>
        </is>
      </c>
    </row>
    <row r="2">
      <c r="A2" s="4" t="inlineStr">
        <is>
          <t>UN-001</t>
        </is>
      </c>
      <c r="B2" s="4">
        <f>VLOOKUP(A2,User_Needs!A:E,2,FALSE)</f>
        <v/>
      </c>
      <c r="C2" s="4" t="inlineStr">
        <is>
          <t>DI-001</t>
        </is>
      </c>
      <c r="D2" s="4">
        <f>VLOOKUP(C2,Design_Inputs!A:F,3,FALSE)</f>
        <v/>
      </c>
      <c r="E2" s="4" t="inlineStr">
        <is>
          <t>DO-001</t>
        </is>
      </c>
      <c r="F2" s="4">
        <f>VLOOKUP(E2,Design_Outputs!A:D,3,FALSE)</f>
        <v/>
      </c>
      <c r="G2" s="4" t="inlineStr">
        <is>
          <t>VER-001</t>
        </is>
      </c>
      <c r="H2" s="4">
        <f>VLOOKUP(G2,Verification!A:F,5,FALSE)</f>
        <v/>
      </c>
      <c r="I2" s="4" t="inlineStr">
        <is>
          <t>VAL-001</t>
        </is>
      </c>
      <c r="J2" s="4">
        <f>VLOOKUP(I2,Validation!A:E,5,FALSE)</f>
        <v/>
      </c>
    </row>
    <row r="3">
      <c r="A3" s="4" t="inlineStr">
        <is>
          <t>UN-002</t>
        </is>
      </c>
      <c r="B3" s="4">
        <f>VLOOKUP(A3,User_Needs!A:E,2,FALSE)</f>
        <v/>
      </c>
      <c r="C3" s="4" t="inlineStr">
        <is>
          <t>DI-002</t>
        </is>
      </c>
      <c r="D3" s="4">
        <f>VLOOKUP(C3,Design_Inputs!A:F,3,FALSE)</f>
        <v/>
      </c>
      <c r="E3" s="4" t="inlineStr">
        <is>
          <t>DO-002</t>
        </is>
      </c>
      <c r="F3" s="4">
        <f>VLOOKUP(E3,Design_Outputs!A:D,3,FALSE)</f>
        <v/>
      </c>
      <c r="G3" s="4" t="inlineStr">
        <is>
          <t>VER-002</t>
        </is>
      </c>
      <c r="H3" s="4">
        <f>VLOOKUP(G3,Verification!A:F,5,FALSE)</f>
        <v/>
      </c>
      <c r="I3" s="4" t="inlineStr">
        <is>
          <t>VAL-002</t>
        </is>
      </c>
      <c r="J3" s="4">
        <f>VLOOKUP(I3,Validation!A:E,5,FALSE)</f>
        <v/>
      </c>
    </row>
    <row r="4">
      <c r="A4" s="4" t="inlineStr">
        <is>
          <t>UN-003</t>
        </is>
      </c>
      <c r="B4" s="4">
        <f>VLOOKUP(A4,User_Needs!A:E,2,FALSE)</f>
        <v/>
      </c>
      <c r="C4" s="4" t="inlineStr">
        <is>
          <t>DI-003</t>
        </is>
      </c>
      <c r="D4" s="4">
        <f>VLOOKUP(C4,Design_Inputs!A:F,3,FALSE)</f>
        <v/>
      </c>
      <c r="E4" s="4" t="inlineStr">
        <is>
          <t>DO-003</t>
        </is>
      </c>
      <c r="F4" s="4">
        <f>VLOOKUP(E4,Design_Outputs!A:D,3,FALSE)</f>
        <v/>
      </c>
      <c r="G4" s="4" t="inlineStr">
        <is>
          <t>VER-003</t>
        </is>
      </c>
      <c r="H4" s="4">
        <f>VLOOKUP(G4,Verification!A:F,5,FALSE)</f>
        <v/>
      </c>
      <c r="I4" s="4" t="inlineStr">
        <is>
          <t>VAL-003</t>
        </is>
      </c>
      <c r="J4" s="4">
        <f>VLOOKUP(I4,Validation!A:E,5,FALSE)</f>
        <v/>
      </c>
    </row>
    <row r="5">
      <c r="A5" s="4" t="inlineStr">
        <is>
          <t>UN-004</t>
        </is>
      </c>
      <c r="B5" s="4">
        <f>VLOOKUP(A5,User_Needs!A:E,2,FALSE)</f>
        <v/>
      </c>
      <c r="C5" s="4" t="inlineStr">
        <is>
          <t>DI-004</t>
        </is>
      </c>
      <c r="D5" s="4">
        <f>VLOOKUP(C5,Design_Inputs!A:F,3,FALSE)</f>
        <v/>
      </c>
      <c r="E5" s="4" t="inlineStr">
        <is>
          <t>DO-004</t>
        </is>
      </c>
      <c r="F5" s="4">
        <f>VLOOKUP(E5,Design_Outputs!A:D,3,FALSE)</f>
        <v/>
      </c>
      <c r="G5" s="4" t="inlineStr">
        <is>
          <t>VER-004</t>
        </is>
      </c>
      <c r="H5" s="4">
        <f>VLOOKUP(G5,Verification!A:F,5,FALSE)</f>
        <v/>
      </c>
      <c r="I5" s="4" t="inlineStr">
        <is>
          <t>VAL-004</t>
        </is>
      </c>
      <c r="J5" s="4">
        <f>VLOOKUP(I5,Validation!A:E,5,FALSE)</f>
        <v/>
      </c>
    </row>
    <row r="6">
      <c r="A6" s="4" t="inlineStr">
        <is>
          <t>UN-005</t>
        </is>
      </c>
      <c r="B6" s="4">
        <f>VLOOKUP(A6,User_Needs!A:E,2,FALSE)</f>
        <v/>
      </c>
      <c r="C6" s="4" t="inlineStr">
        <is>
          <t>DI-005</t>
        </is>
      </c>
      <c r="D6" s="4">
        <f>VLOOKUP(C6,Design_Inputs!A:F,3,FALSE)</f>
        <v/>
      </c>
      <c r="E6" s="4" t="inlineStr">
        <is>
          <t>DO-005</t>
        </is>
      </c>
      <c r="F6" s="4">
        <f>VLOOKUP(E6,Design_Outputs!A:D,3,FALSE)</f>
        <v/>
      </c>
      <c r="G6" s="4" t="inlineStr">
        <is>
          <t>VER-005</t>
        </is>
      </c>
      <c r="H6" s="4">
        <f>VLOOKUP(G6,Verification!A:F,5,FALSE)</f>
        <v/>
      </c>
      <c r="I6" s="4" t="inlineStr">
        <is>
          <t>VAL-005</t>
        </is>
      </c>
      <c r="J6" s="4">
        <f>VLOOKUP(I6,Validation!A:E,5,FALSE)</f>
        <v/>
      </c>
    </row>
    <row r="7"/>
    <row r="8">
      <c r="A8" s="6" t="inlineStr">
        <is>
          <t>Summary Statistics</t>
        </is>
      </c>
    </row>
    <row r="9">
      <c r="A9" s="7" t="inlineStr">
        <is>
          <t>Verification</t>
        </is>
      </c>
      <c r="B9" t="inlineStr">
        <is>
          <t>Pass:</t>
        </is>
      </c>
      <c r="C9">
        <f>COUNTIF(Verification!E:E,"Pass")</f>
        <v/>
      </c>
      <c r="D9" t="inlineStr">
        <is>
          <t>Fail:</t>
        </is>
      </c>
      <c r="E9">
        <f>COUNTIF(Verification!E:E,"Fail")</f>
        <v/>
      </c>
      <c r="F9" t="inlineStr">
        <is>
          <t>Pending:</t>
        </is>
      </c>
      <c r="G9">
        <f>COUNTIF(Verification!E:E,"Pending")</f>
        <v/>
      </c>
    </row>
    <row r="10">
      <c r="A10" s="7" t="inlineStr">
        <is>
          <t>Validation</t>
        </is>
      </c>
      <c r="B10" t="inlineStr">
        <is>
          <t>Pass:</t>
        </is>
      </c>
      <c r="C10">
        <f>COUNTIF(Validation!E:E,"Pass")</f>
        <v/>
      </c>
      <c r="D10" t="inlineStr">
        <is>
          <t>Fail:</t>
        </is>
      </c>
      <c r="E10">
        <f>COUNTIF(Validation!E:E,"Fail")</f>
        <v/>
      </c>
      <c r="F10" t="inlineStr">
        <is>
          <t>Pending:</t>
        </is>
      </c>
      <c r="G10">
        <f>COUNTIF(Validation!E:E,"Pending")</f>
        <v/>
      </c>
    </row>
  </sheetData>
  <conditionalFormatting sqref="H2:H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</conditionalFormatting>
  <conditionalFormatting sqref="J2:J6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"Pending"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2026-04-29T05:02:07Z</dcterms:created>
  <dcterms:modified xmlns:dcterms="http://purl.org/dc/terms/" xmlns:xsi="http://www.w3.org/2001/XMLSchema-instance" xsi:type="dcterms:W3CDTF">2026-04-29T05:02:07Z</dcterms:modified>
</cp:coreProperties>
</file>